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ampling projects\USGS\Perakis\"/>
    </mc:Choice>
  </mc:AlternateContent>
  <bookViews>
    <workbookView xWindow="120" yWindow="90" windowWidth="23895" windowHeight="14535"/>
  </bookViews>
  <sheets>
    <sheet name="Unknowns" sheetId="1" r:id="rId1"/>
    <sheet name="QAQC Samples" sheetId="2" r:id="rId2"/>
  </sheets>
  <definedNames>
    <definedName name="tbl_Temp">Unknowns!$A$1:$Q$33</definedName>
  </definedNames>
  <calcPr calcId="162913" concurrentCalc="0"/>
</workbook>
</file>

<file path=xl/calcChain.xml><?xml version="1.0" encoding="utf-8"?>
<calcChain xmlns="http://schemas.openxmlformats.org/spreadsheetml/2006/main">
  <c r="D8" i="2" l="1"/>
  <c r="D9" i="2"/>
  <c r="C9" i="2"/>
  <c r="C8" i="2"/>
</calcChain>
</file>

<file path=xl/sharedStrings.xml><?xml version="1.0" encoding="utf-8"?>
<sst xmlns="http://schemas.openxmlformats.org/spreadsheetml/2006/main" count="85" uniqueCount="80">
  <si>
    <t>OurLabID</t>
  </si>
  <si>
    <t>Sample ID</t>
  </si>
  <si>
    <t>Amount (mg)</t>
  </si>
  <si>
    <t>G-86604</t>
  </si>
  <si>
    <t>26G_40</t>
  </si>
  <si>
    <t>G-86584</t>
  </si>
  <si>
    <t>G-86585</t>
  </si>
  <si>
    <t>G-86668</t>
  </si>
  <si>
    <t>26G_98</t>
  </si>
  <si>
    <t>G-86678</t>
  </si>
  <si>
    <t>26G_126</t>
  </si>
  <si>
    <t>G-86686</t>
  </si>
  <si>
    <t>26G_149</t>
  </si>
  <si>
    <t>G-86690</t>
  </si>
  <si>
    <t>26G_184</t>
  </si>
  <si>
    <t>G-86711</t>
  </si>
  <si>
    <t>26G_176</t>
  </si>
  <si>
    <t>G-86731</t>
  </si>
  <si>
    <t>26G_256</t>
  </si>
  <si>
    <t>G-86732</t>
  </si>
  <si>
    <t>26G_253</t>
  </si>
  <si>
    <t>G-86733</t>
  </si>
  <si>
    <t>26G_241</t>
  </si>
  <si>
    <t>G-86734</t>
  </si>
  <si>
    <t>26G_248</t>
  </si>
  <si>
    <t>G-86735</t>
  </si>
  <si>
    <t>26G_166</t>
  </si>
  <si>
    <t>G-86738</t>
  </si>
  <si>
    <t>26G_150</t>
  </si>
  <si>
    <t>G-86739</t>
  </si>
  <si>
    <t>26G_239</t>
  </si>
  <si>
    <t>G-86740</t>
  </si>
  <si>
    <t>26G_254</t>
  </si>
  <si>
    <t>G-86743</t>
  </si>
  <si>
    <t>26G_167</t>
  </si>
  <si>
    <t>G-86744</t>
  </si>
  <si>
    <t>26G_240</t>
  </si>
  <si>
    <t>G-86745</t>
  </si>
  <si>
    <t>26G_251</t>
  </si>
  <si>
    <t>G-86746</t>
  </si>
  <si>
    <t>26G_245</t>
  </si>
  <si>
    <t>G-86747</t>
  </si>
  <si>
    <t>26G_236</t>
  </si>
  <si>
    <t>G-86748</t>
  </si>
  <si>
    <t>26G_238</t>
  </si>
  <si>
    <t>G-86749</t>
  </si>
  <si>
    <t>26G_242</t>
  </si>
  <si>
    <t>G-86750</t>
  </si>
  <si>
    <t>26G_244</t>
  </si>
  <si>
    <t>G-86751</t>
  </si>
  <si>
    <t>26G_234</t>
  </si>
  <si>
    <t>G-86752</t>
  </si>
  <si>
    <t>26G_231</t>
  </si>
  <si>
    <t>G-86755</t>
  </si>
  <si>
    <t>26G_247</t>
  </si>
  <si>
    <t>G-86756</t>
  </si>
  <si>
    <t>26G_255</t>
  </si>
  <si>
    <t>G-86757</t>
  </si>
  <si>
    <t>26G_225</t>
  </si>
  <si>
    <t>G-86758</t>
  </si>
  <si>
    <t>26G_237</t>
  </si>
  <si>
    <t>G-86759</t>
  </si>
  <si>
    <t>26G_229</t>
  </si>
  <si>
    <t>G-86760</t>
  </si>
  <si>
    <t>26G_235</t>
  </si>
  <si>
    <t>G-89654</t>
  </si>
  <si>
    <t>26G_250</t>
  </si>
  <si>
    <t>d13C</t>
  </si>
  <si>
    <t>%C</t>
  </si>
  <si>
    <t>d15N</t>
  </si>
  <si>
    <t>%N</t>
  </si>
  <si>
    <t>G26-3-tw1</t>
  </si>
  <si>
    <t>G26-3-tw2</t>
  </si>
  <si>
    <t>Date Analyzed</t>
  </si>
  <si>
    <t>Delta_13C_QAQC</t>
  </si>
  <si>
    <t>G-106</t>
  </si>
  <si>
    <t>Delta_15N_QAQC</t>
  </si>
  <si>
    <t>Average</t>
  </si>
  <si>
    <t>Standard Deviation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</si>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</sst>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yy\ 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B5" sqref="B5"/>
    </sheetView>
  </sheetViews>
  <sheetFormatPr defaultRowHeight="15" x14ac:dyDescent="0.25"/>
  <cols>
    <col min="2" max="2" width="14" bestFit="1" customWidth="1"/>
    <col min="7" max="7" width="12.7109375" bestFit="1" customWidth="1"/>
    <col min="9" max="9" width="10" bestFit="1" customWidth="1"/>
  </cols>
  <sheetData>
    <row r="1" spans="1:7" x14ac:dyDescent="0.25">
      <c r="A1" t="s">
        <v>0</v>
      </c>
      <c r="B1" t="s">
        <v>1</v>
      </c>
      <c r="C1" t="s">
        <v>67</v>
      </c>
      <c r="D1" t="s">
        <v>68</v>
      </c>
      <c r="E1" t="s">
        <v>69</v>
      </c>
      <c r="F1" t="s">
        <v>70</v>
      </c>
      <c r="G1" t="s">
        <v>2</v>
      </c>
    </row>
    <row r="2" spans="1:7" x14ac:dyDescent="0.25">
      <c r="A2" t="s">
        <v>5</v>
      </c>
      <c r="B2" t="s">
        <v>71</v>
      </c>
      <c r="C2" s="1">
        <v>-21.64</v>
      </c>
      <c r="D2" s="1">
        <v>47.84</v>
      </c>
      <c r="E2" s="1">
        <v>2.48</v>
      </c>
      <c r="F2" s="1">
        <v>1.575</v>
      </c>
      <c r="G2" s="1">
        <v>10.388</v>
      </c>
    </row>
    <row r="3" spans="1:7" x14ac:dyDescent="0.25">
      <c r="A3" t="s">
        <v>6</v>
      </c>
      <c r="B3" t="s">
        <v>72</v>
      </c>
      <c r="C3" s="1">
        <v>-23.42</v>
      </c>
      <c r="D3" s="1">
        <v>46.89</v>
      </c>
      <c r="E3" s="1">
        <v>2.19</v>
      </c>
      <c r="F3" s="1">
        <v>1.4810000000000001</v>
      </c>
      <c r="G3" s="1">
        <v>5.4080000000000004</v>
      </c>
    </row>
    <row r="4" spans="1:7" x14ac:dyDescent="0.25">
      <c r="A4" t="s">
        <v>3</v>
      </c>
      <c r="B4" t="s">
        <v>4</v>
      </c>
      <c r="C4" s="1">
        <v>-28.62</v>
      </c>
      <c r="D4" s="1">
        <v>1.29</v>
      </c>
      <c r="E4" s="1">
        <v>2.37</v>
      </c>
      <c r="F4" s="1">
        <v>0.441</v>
      </c>
      <c r="G4" s="1">
        <v>14.382</v>
      </c>
    </row>
    <row r="5" spans="1:7" x14ac:dyDescent="0.25">
      <c r="A5" t="s">
        <v>7</v>
      </c>
      <c r="B5" t="s">
        <v>8</v>
      </c>
      <c r="C5" s="1">
        <v>-25.26</v>
      </c>
      <c r="D5" s="1">
        <v>12.66</v>
      </c>
      <c r="E5" s="1">
        <v>3.41</v>
      </c>
      <c r="F5" s="1">
        <v>0.81499999999999995</v>
      </c>
      <c r="G5" s="1">
        <v>14.72</v>
      </c>
    </row>
    <row r="6" spans="1:7" x14ac:dyDescent="0.25">
      <c r="A6" t="s">
        <v>9</v>
      </c>
      <c r="B6" t="s">
        <v>10</v>
      </c>
      <c r="C6" s="1">
        <v>-25.07</v>
      </c>
      <c r="D6" s="1">
        <v>10.89</v>
      </c>
      <c r="E6" s="1">
        <v>3.94</v>
      </c>
      <c r="F6" s="1">
        <v>0.876</v>
      </c>
      <c r="G6" s="1">
        <v>14.728999999999999</v>
      </c>
    </row>
    <row r="7" spans="1:7" x14ac:dyDescent="0.25">
      <c r="A7" t="s">
        <v>11</v>
      </c>
      <c r="B7" t="s">
        <v>12</v>
      </c>
      <c r="C7" s="1">
        <v>-23.54</v>
      </c>
      <c r="D7" s="1">
        <v>6.7389999999999999</v>
      </c>
      <c r="E7" s="1">
        <v>4.4800000000000004</v>
      </c>
      <c r="F7" s="1">
        <v>0.34100000000000003</v>
      </c>
      <c r="G7" s="1">
        <v>14.8</v>
      </c>
    </row>
    <row r="8" spans="1:7" x14ac:dyDescent="0.25">
      <c r="A8" t="s">
        <v>13</v>
      </c>
      <c r="B8" t="s">
        <v>14</v>
      </c>
      <c r="C8" s="1">
        <v>-22.76</v>
      </c>
      <c r="D8" s="1">
        <v>20.77</v>
      </c>
      <c r="E8" s="1">
        <v>3.32</v>
      </c>
      <c r="F8" s="1">
        <v>1.7110000000000001</v>
      </c>
      <c r="G8" s="1">
        <v>14.518000000000001</v>
      </c>
    </row>
    <row r="9" spans="1:7" x14ac:dyDescent="0.25">
      <c r="A9" t="s">
        <v>15</v>
      </c>
      <c r="B9" t="s">
        <v>16</v>
      </c>
      <c r="C9" s="1">
        <v>-23.29</v>
      </c>
      <c r="D9" s="1">
        <v>10.42</v>
      </c>
      <c r="E9" s="1">
        <v>5.03</v>
      </c>
      <c r="F9" s="1">
        <v>0.85</v>
      </c>
      <c r="G9" s="1">
        <v>14.272</v>
      </c>
    </row>
    <row r="10" spans="1:7" x14ac:dyDescent="0.25">
      <c r="A10" t="s">
        <v>17</v>
      </c>
      <c r="B10" t="s">
        <v>18</v>
      </c>
      <c r="C10" s="1">
        <v>-25.45</v>
      </c>
      <c r="D10" s="1">
        <v>8.36</v>
      </c>
      <c r="E10" s="1">
        <v>4.01</v>
      </c>
      <c r="F10" s="1">
        <v>0.57099999999999995</v>
      </c>
      <c r="G10" s="1">
        <v>14.519</v>
      </c>
    </row>
    <row r="11" spans="1:7" x14ac:dyDescent="0.25">
      <c r="A11" t="s">
        <v>19</v>
      </c>
      <c r="B11" t="s">
        <v>20</v>
      </c>
      <c r="C11" s="1">
        <v>-20.55</v>
      </c>
      <c r="D11" s="1">
        <v>1.8089999999999999</v>
      </c>
      <c r="E11" s="1">
        <v>6.91</v>
      </c>
      <c r="F11" s="1">
        <v>0.112</v>
      </c>
      <c r="G11" s="1">
        <v>14.061</v>
      </c>
    </row>
    <row r="12" spans="1:7" x14ac:dyDescent="0.25">
      <c r="A12" t="s">
        <v>21</v>
      </c>
      <c r="B12" t="s">
        <v>22</v>
      </c>
      <c r="C12" s="1">
        <v>-24.48</v>
      </c>
      <c r="D12" s="1">
        <v>5.9740000000000002</v>
      </c>
      <c r="E12" s="1">
        <v>6.05</v>
      </c>
      <c r="F12" s="1">
        <v>0.47899999999999998</v>
      </c>
      <c r="G12" s="1">
        <v>14.143000000000001</v>
      </c>
    </row>
    <row r="13" spans="1:7" x14ac:dyDescent="0.25">
      <c r="A13" t="s">
        <v>23</v>
      </c>
      <c r="B13" t="s">
        <v>24</v>
      </c>
      <c r="C13" s="1">
        <v>-25.25</v>
      </c>
      <c r="D13" s="1">
        <v>6.1449999999999996</v>
      </c>
      <c r="E13" s="1">
        <v>5.13</v>
      </c>
      <c r="F13" s="1">
        <v>0.46600000000000003</v>
      </c>
      <c r="G13" s="1">
        <v>14.472</v>
      </c>
    </row>
    <row r="14" spans="1:7" x14ac:dyDescent="0.25">
      <c r="A14" t="s">
        <v>25</v>
      </c>
      <c r="B14" t="s">
        <v>26</v>
      </c>
      <c r="C14" s="1">
        <v>-23.36</v>
      </c>
      <c r="D14" s="1">
        <v>14.38</v>
      </c>
      <c r="E14" s="1">
        <v>4.96</v>
      </c>
      <c r="F14" s="1">
        <v>1.266</v>
      </c>
      <c r="G14" s="1">
        <v>14.975</v>
      </c>
    </row>
    <row r="15" spans="1:7" x14ac:dyDescent="0.25">
      <c r="A15" t="s">
        <v>27</v>
      </c>
      <c r="B15" t="s">
        <v>28</v>
      </c>
      <c r="C15" s="1">
        <v>-24.35</v>
      </c>
      <c r="D15" s="1">
        <v>11.77</v>
      </c>
      <c r="E15" s="1">
        <v>2.08</v>
      </c>
      <c r="F15" s="1">
        <v>0.95099999999999996</v>
      </c>
      <c r="G15" s="1">
        <v>14.773</v>
      </c>
    </row>
    <row r="16" spans="1:7" x14ac:dyDescent="0.25">
      <c r="A16" t="s">
        <v>29</v>
      </c>
      <c r="B16" t="s">
        <v>30</v>
      </c>
      <c r="C16" s="1">
        <v>-24.2</v>
      </c>
      <c r="D16" s="1">
        <v>4.7990000000000004</v>
      </c>
      <c r="E16" s="1">
        <v>5.74</v>
      </c>
      <c r="F16" s="1">
        <v>0.35699999999999998</v>
      </c>
      <c r="G16" s="1">
        <v>13.105</v>
      </c>
    </row>
    <row r="17" spans="1:7" x14ac:dyDescent="0.25">
      <c r="A17" t="s">
        <v>31</v>
      </c>
      <c r="B17" t="s">
        <v>32</v>
      </c>
      <c r="C17" s="1">
        <v>-25.35</v>
      </c>
      <c r="D17" s="1">
        <v>5.3490000000000002</v>
      </c>
      <c r="E17" s="1">
        <v>5.21</v>
      </c>
      <c r="F17" s="1">
        <v>0.39100000000000001</v>
      </c>
      <c r="G17" s="1">
        <v>14.571999999999999</v>
      </c>
    </row>
    <row r="18" spans="1:7" x14ac:dyDescent="0.25">
      <c r="A18" t="s">
        <v>33</v>
      </c>
      <c r="B18" t="s">
        <v>34</v>
      </c>
      <c r="C18" s="1">
        <v>-25.28</v>
      </c>
      <c r="D18" s="1">
        <v>9.9380000000000006</v>
      </c>
      <c r="E18" s="1">
        <v>3.4</v>
      </c>
      <c r="F18" s="1">
        <v>0.79100000000000004</v>
      </c>
      <c r="G18" s="1">
        <v>14.4</v>
      </c>
    </row>
    <row r="19" spans="1:7" x14ac:dyDescent="0.25">
      <c r="A19" t="s">
        <v>35</v>
      </c>
      <c r="B19" t="s">
        <v>36</v>
      </c>
      <c r="C19" s="1">
        <v>-24.14</v>
      </c>
      <c r="D19" s="1">
        <v>6.7240000000000002</v>
      </c>
      <c r="E19" s="1">
        <v>4.7</v>
      </c>
      <c r="F19" s="1">
        <v>0.57499999999999996</v>
      </c>
      <c r="G19" s="1">
        <v>13.76</v>
      </c>
    </row>
    <row r="20" spans="1:7" x14ac:dyDescent="0.25">
      <c r="A20" t="s">
        <v>37</v>
      </c>
      <c r="B20" t="s">
        <v>38</v>
      </c>
      <c r="C20" s="1">
        <v>-25.1</v>
      </c>
      <c r="D20" s="1">
        <v>10.35</v>
      </c>
      <c r="E20" s="1">
        <v>4.2</v>
      </c>
      <c r="F20" s="1">
        <v>0.90200000000000002</v>
      </c>
      <c r="G20" s="1">
        <v>13.962999999999999</v>
      </c>
    </row>
    <row r="21" spans="1:7" x14ac:dyDescent="0.25">
      <c r="A21" t="s">
        <v>39</v>
      </c>
      <c r="B21" t="s">
        <v>40</v>
      </c>
      <c r="C21" s="1">
        <v>-24.63</v>
      </c>
      <c r="D21" s="1">
        <v>5.7629999999999999</v>
      </c>
      <c r="E21" s="1">
        <v>5.25</v>
      </c>
      <c r="F21" s="1">
        <v>0.48399999999999999</v>
      </c>
      <c r="G21" s="1">
        <v>14.449</v>
      </c>
    </row>
    <row r="22" spans="1:7" x14ac:dyDescent="0.25">
      <c r="A22" t="s">
        <v>41</v>
      </c>
      <c r="B22" t="s">
        <v>42</v>
      </c>
      <c r="C22" s="1">
        <v>-23.39</v>
      </c>
      <c r="D22" s="1">
        <v>4.3890000000000002</v>
      </c>
      <c r="E22" s="1">
        <v>6.58</v>
      </c>
      <c r="F22" s="1">
        <v>0.372</v>
      </c>
      <c r="G22" s="1">
        <v>14.475</v>
      </c>
    </row>
    <row r="23" spans="1:7" x14ac:dyDescent="0.25">
      <c r="A23" t="s">
        <v>43</v>
      </c>
      <c r="B23" t="s">
        <v>44</v>
      </c>
      <c r="C23" s="1">
        <v>-22.17</v>
      </c>
      <c r="D23" s="1">
        <v>5.05</v>
      </c>
      <c r="E23" s="1">
        <v>6.99</v>
      </c>
      <c r="F23" s="1">
        <v>0.377</v>
      </c>
      <c r="G23" s="1">
        <v>14.478</v>
      </c>
    </row>
    <row r="24" spans="1:7" x14ac:dyDescent="0.25">
      <c r="A24" t="s">
        <v>45</v>
      </c>
      <c r="B24" t="s">
        <v>46</v>
      </c>
      <c r="C24" s="1">
        <v>-23.74</v>
      </c>
      <c r="D24" s="1">
        <v>6.3319999999999999</v>
      </c>
      <c r="E24" s="1">
        <v>6.49</v>
      </c>
      <c r="F24" s="1">
        <v>0.504</v>
      </c>
      <c r="G24" s="1">
        <v>14.55</v>
      </c>
    </row>
    <row r="25" spans="1:7" x14ac:dyDescent="0.25">
      <c r="A25" t="s">
        <v>47</v>
      </c>
      <c r="B25" t="s">
        <v>48</v>
      </c>
      <c r="C25" s="1">
        <v>-24.57</v>
      </c>
      <c r="D25" s="1">
        <v>5.282</v>
      </c>
      <c r="E25" s="1">
        <v>6.3</v>
      </c>
      <c r="F25" s="1">
        <v>0.50700000000000001</v>
      </c>
      <c r="G25" s="1">
        <v>13.738</v>
      </c>
    </row>
    <row r="26" spans="1:7" x14ac:dyDescent="0.25">
      <c r="A26" t="s">
        <v>49</v>
      </c>
      <c r="B26" t="s">
        <v>50</v>
      </c>
      <c r="C26" s="1">
        <v>-22.73</v>
      </c>
      <c r="D26" s="1">
        <v>4.4850000000000003</v>
      </c>
      <c r="E26" s="1">
        <v>6.64</v>
      </c>
      <c r="F26" s="1">
        <v>0.32500000000000001</v>
      </c>
      <c r="G26" s="1">
        <v>13.422000000000001</v>
      </c>
    </row>
    <row r="27" spans="1:7" x14ac:dyDescent="0.25">
      <c r="A27" t="s">
        <v>51</v>
      </c>
      <c r="B27" t="s">
        <v>52</v>
      </c>
      <c r="C27" s="1">
        <v>-24.88</v>
      </c>
      <c r="D27" s="1">
        <v>6.11</v>
      </c>
      <c r="E27" s="1">
        <v>6.22</v>
      </c>
      <c r="F27" s="1">
        <v>0.53</v>
      </c>
      <c r="G27" s="1">
        <v>13.808999999999999</v>
      </c>
    </row>
    <row r="28" spans="1:7" x14ac:dyDescent="0.25">
      <c r="A28" t="s">
        <v>53</v>
      </c>
      <c r="B28" t="s">
        <v>54</v>
      </c>
      <c r="C28" s="1">
        <v>-24.16</v>
      </c>
      <c r="D28" s="1">
        <v>6.9059999999999997</v>
      </c>
      <c r="E28" s="1">
        <v>5.26</v>
      </c>
      <c r="F28" s="1">
        <v>0.65300000000000002</v>
      </c>
      <c r="G28" s="1">
        <v>14.798999999999999</v>
      </c>
    </row>
    <row r="29" spans="1:7" x14ac:dyDescent="0.25">
      <c r="A29" t="s">
        <v>55</v>
      </c>
      <c r="B29" t="s">
        <v>56</v>
      </c>
      <c r="C29" s="1">
        <v>-23.98</v>
      </c>
      <c r="D29" s="1">
        <v>4.0780000000000003</v>
      </c>
      <c r="E29" s="1">
        <v>4.78</v>
      </c>
      <c r="F29" s="1">
        <v>0.30499999999999999</v>
      </c>
      <c r="G29" s="1">
        <v>14.35</v>
      </c>
    </row>
    <row r="30" spans="1:7" x14ac:dyDescent="0.25">
      <c r="A30" t="s">
        <v>57</v>
      </c>
      <c r="B30" t="s">
        <v>58</v>
      </c>
      <c r="C30" s="1">
        <v>-24.48</v>
      </c>
      <c r="D30" s="1">
        <v>3.87</v>
      </c>
      <c r="E30" s="1">
        <v>7.73</v>
      </c>
      <c r="F30" s="1">
        <v>0.33600000000000002</v>
      </c>
      <c r="G30" s="1">
        <v>14.635999999999999</v>
      </c>
    </row>
    <row r="31" spans="1:7" x14ac:dyDescent="0.25">
      <c r="A31" t="s">
        <v>59</v>
      </c>
      <c r="B31" t="s">
        <v>60</v>
      </c>
      <c r="C31" s="1">
        <v>-25.16</v>
      </c>
      <c r="D31" s="1">
        <v>6.3410000000000002</v>
      </c>
      <c r="E31" s="1">
        <v>5.46</v>
      </c>
      <c r="F31" s="1">
        <v>0.45200000000000001</v>
      </c>
      <c r="G31" s="1">
        <v>14.323</v>
      </c>
    </row>
    <row r="32" spans="1:7" x14ac:dyDescent="0.25">
      <c r="A32" t="s">
        <v>61</v>
      </c>
      <c r="B32" t="s">
        <v>62</v>
      </c>
      <c r="C32" s="1">
        <v>-23.22</v>
      </c>
      <c r="D32" s="1">
        <v>4.1920000000000002</v>
      </c>
      <c r="E32" s="1">
        <v>7.11</v>
      </c>
      <c r="F32" s="1">
        <v>0.36899999999999999</v>
      </c>
      <c r="G32" s="1">
        <v>14.988</v>
      </c>
    </row>
    <row r="33" spans="1:7" x14ac:dyDescent="0.25">
      <c r="A33" t="s">
        <v>63</v>
      </c>
      <c r="B33" t="s">
        <v>64</v>
      </c>
      <c r="C33" s="1">
        <v>-21.79</v>
      </c>
      <c r="D33" s="1">
        <v>3.9830000000000001</v>
      </c>
      <c r="E33" s="1">
        <v>8.7200000000000006</v>
      </c>
      <c r="F33" s="1">
        <v>0.35</v>
      </c>
      <c r="G33" s="1">
        <v>14.682</v>
      </c>
    </row>
    <row r="34" spans="1:7" x14ac:dyDescent="0.25">
      <c r="A34" t="s">
        <v>65</v>
      </c>
      <c r="B34" t="s">
        <v>66</v>
      </c>
      <c r="C34" s="1">
        <v>-21.82</v>
      </c>
      <c r="D34" s="1">
        <v>3.53</v>
      </c>
      <c r="E34" s="1">
        <v>7.34</v>
      </c>
      <c r="F34" s="1">
        <v>0.27100000000000002</v>
      </c>
      <c r="G34" s="1">
        <v>14.282</v>
      </c>
    </row>
  </sheetData>
  <sortState ref="A2:Q305">
    <sortCondition ref="A2:A3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27" sqref="C27"/>
    </sheetView>
  </sheetViews>
  <sheetFormatPr defaultRowHeight="15" x14ac:dyDescent="0.25"/>
  <cols>
    <col min="2" max="2" width="18.140625" bestFit="1" customWidth="1"/>
    <col min="3" max="3" width="16.28515625" bestFit="1" customWidth="1"/>
    <col min="4" max="4" width="16.5703125" bestFit="1" customWidth="1"/>
  </cols>
  <sheetData>
    <row r="1" spans="1:4" x14ac:dyDescent="0.25">
      <c r="A1" t="s">
        <v>0</v>
      </c>
      <c r="B1" t="s">
        <v>73</v>
      </c>
      <c r="C1" t="s">
        <v>74</v>
      </c>
      <c r="D1" t="s">
        <v>76</v>
      </c>
    </row>
    <row r="2" spans="1:4" x14ac:dyDescent="0.25">
      <c r="A2" t="s">
        <v>75</v>
      </c>
      <c r="B2" s="2">
        <v>45894.985324074099</v>
      </c>
      <c r="C2">
        <v>-26.59</v>
      </c>
      <c r="D2">
        <v>2.27</v>
      </c>
    </row>
    <row r="3" spans="1:4" x14ac:dyDescent="0.25">
      <c r="A3" t="s">
        <v>75</v>
      </c>
      <c r="B3" s="2">
        <v>45895.016134259298</v>
      </c>
      <c r="C3">
        <v>-26.17</v>
      </c>
      <c r="D3">
        <v>1.93</v>
      </c>
    </row>
    <row r="4" spans="1:4" x14ac:dyDescent="0.25">
      <c r="A4" t="s">
        <v>75</v>
      </c>
      <c r="B4" s="2">
        <v>45896.859895833302</v>
      </c>
      <c r="C4">
        <v>-26.62</v>
      </c>
      <c r="D4">
        <v>1.74</v>
      </c>
    </row>
    <row r="5" spans="1:4" x14ac:dyDescent="0.25">
      <c r="A5" t="s">
        <v>75</v>
      </c>
      <c r="B5" s="2">
        <v>45896.927685185197</v>
      </c>
      <c r="C5">
        <v>-26.36</v>
      </c>
      <c r="D5">
        <v>2.16</v>
      </c>
    </row>
    <row r="6" spans="1:4" x14ac:dyDescent="0.25">
      <c r="A6" t="s">
        <v>75</v>
      </c>
      <c r="B6" s="2">
        <v>45896.989293981504</v>
      </c>
      <c r="C6">
        <v>-26.54</v>
      </c>
      <c r="D6">
        <v>1.68</v>
      </c>
    </row>
    <row r="8" spans="1:4" x14ac:dyDescent="0.25">
      <c r="B8" t="s">
        <v>77</v>
      </c>
      <c r="C8" s="1">
        <f>AVERAGE(C2:C6)</f>
        <v>-26.456</v>
      </c>
      <c r="D8" s="1">
        <f>AVERAGE(D2:D6)</f>
        <v>1.9560000000000002</v>
      </c>
    </row>
    <row r="9" spans="1:4" x14ac:dyDescent="0.25">
      <c r="B9" t="s">
        <v>78</v>
      </c>
      <c r="C9" s="1">
        <f>STDEV(C2:C6)</f>
        <v>0.1890238080242799</v>
      </c>
      <c r="D9" s="1">
        <f>STDEV(D2:D6)</f>
        <v>0.25676837811537256</v>
      </c>
    </row>
    <row r="10" spans="1:4" x14ac:dyDescent="0.25">
      <c r="B10" t="s">
        <v>79</v>
      </c>
      <c r="C10" s="1">
        <v>-26.640999999999998</v>
      </c>
      <c r="D10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Unknowns</vt:lpstr>
      <vt:lpstr>QAQC Samples</vt:lpstr>
      <vt:lpstr>tbl_Temp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Paulman</dc:creator>
  <cp:lastModifiedBy>Robin Paulman</cp:lastModifiedBy>
  <dcterms:created xsi:type="dcterms:W3CDTF">2025-08-28T16:45:20Z</dcterms:created>
  <dcterms:modified xsi:type="dcterms:W3CDTF">2025-08-28T17:27:57Z</dcterms:modified>
</cp:coreProperties>
</file>